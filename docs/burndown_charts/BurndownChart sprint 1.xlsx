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zys\Desktop\"/>
    </mc:Choice>
  </mc:AlternateContent>
  <xr:revisionPtr revIDLastSave="0" documentId="13_ncr:1_{C1D284F3-60A9-4ACB-A92D-91BD08C72C1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urndow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1" l="1"/>
  <c r="E3" i="1" s="1"/>
  <c r="E4" i="1" s="1"/>
  <c r="E5" i="1" s="1"/>
  <c r="E6" i="1" s="1"/>
  <c r="E7" i="1" s="1"/>
  <c r="E8" i="1" s="1"/>
  <c r="S10" i="1"/>
  <c r="B8" i="1" l="1"/>
  <c r="D8" i="1"/>
</calcChain>
</file>

<file path=xl/sharedStrings.xml><?xml version="1.0" encoding="utf-8"?>
<sst xmlns="http://schemas.openxmlformats.org/spreadsheetml/2006/main" count="15" uniqueCount="15">
  <si>
    <t>Day</t>
  </si>
  <si>
    <t>Story Points Goal</t>
  </si>
  <si>
    <t>Complete</t>
  </si>
  <si>
    <t>Goal Velocity</t>
  </si>
  <si>
    <t>Remaining</t>
  </si>
  <si>
    <t>Task</t>
  </si>
  <si>
    <t>Story Points</t>
  </si>
  <si>
    <t>Setup CD</t>
  </si>
  <si>
    <t>Setup CI with GitHub Actions</t>
  </si>
  <si>
    <t>Implement CSV export</t>
  </si>
  <si>
    <t>Implement visualization</t>
  </si>
  <si>
    <t>Implement statistical algorithms</t>
  </si>
  <si>
    <t>Implement CLI navigation system</t>
  </si>
  <si>
    <t>Implement NBP API integration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</si>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</sst>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6666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AA433F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C8F8E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759108200416843E-2"/>
          <c:y val="0.14845512329010679"/>
          <c:w val="0.69659332170567112"/>
          <c:h val="0.75909007567423414"/>
        </c:manualLayout>
      </c:layout>
      <c:lineChart>
        <c:grouping val="standard"/>
        <c:varyColors val="0"/>
        <c:ser>
          <c:idx val="0"/>
          <c:order val="0"/>
          <c:tx>
            <c:strRef>
              <c:f>Burndown!$D$1</c:f>
              <c:strCache>
                <c:ptCount val="1"/>
                <c:pt idx="0">
                  <c:v>Goal Velocity</c:v>
                </c:pt>
              </c:strCache>
            </c:strRef>
          </c:tx>
          <c:spPr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Burndown!$A$2:$A$8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Burndown!$D$2:$D$8</c:f>
              <c:numCache>
                <c:formatCode>General</c:formatCode>
                <c:ptCount val="7"/>
                <c:pt idx="0">
                  <c:v>27</c:v>
                </c:pt>
                <c:pt idx="1">
                  <c:v>22</c:v>
                </c:pt>
                <c:pt idx="2">
                  <c:v>17</c:v>
                </c:pt>
                <c:pt idx="3">
                  <c:v>12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C-4444-95CB-581D6501AA3D}"/>
            </c:ext>
          </c:extLst>
        </c:ser>
        <c:ser>
          <c:idx val="1"/>
          <c:order val="1"/>
          <c:tx>
            <c:strRef>
              <c:f>Burndown!$E$1</c:f>
              <c:strCache>
                <c:ptCount val="1"/>
                <c:pt idx="0">
                  <c:v>Remaining</c:v>
                </c:pt>
              </c:strCache>
            </c:strRef>
          </c:tx>
          <c:spPr>
            <a:ln w="47520" cap="sq">
              <a:solidFill>
                <a:schemeClr val="tx2"/>
              </a:solidFill>
              <a:miter lim="800000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Burndown!$A$2:$A$8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Burndown!$E$2:$E$8</c:f>
              <c:numCache>
                <c:formatCode>General</c:formatCode>
                <c:ptCount val="7"/>
                <c:pt idx="0">
                  <c:v>26</c:v>
                </c:pt>
                <c:pt idx="1">
                  <c:v>18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C-4444-95CB-581D6501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30836"/>
        <c:axId val="54256026"/>
      </c:lineChart>
      <c:catAx>
        <c:axId val="59030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4256026"/>
        <c:crosses val="autoZero"/>
        <c:auto val="1"/>
        <c:lblAlgn val="ctr"/>
        <c:lblOffset val="100"/>
        <c:noMultiLvlLbl val="0"/>
      </c:catAx>
      <c:valAx>
        <c:axId val="5425602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9030836"/>
        <c:crosses val="autoZero"/>
        <c:crossBetween val="between"/>
      </c:valAx>
      <c:spPr>
        <a:noFill/>
        <a:ln w="0">
          <a:noFill/>
        </a:ln>
        <a:effectLst>
          <a:softEdge rad="127000"/>
        </a:effectLst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Normal="100" workbookViewId="0">
      <selection activeCell="B17" sqref="B17"/>
    </sheetView>
  </sheetViews>
  <sheetFormatPr defaultColWidth="8.7109375" defaultRowHeight="15" x14ac:dyDescent="0.25"/>
  <cols>
    <col min="1" max="1" width="8" customWidth="1"/>
    <col min="2" max="2" width="18" customWidth="1"/>
    <col min="3" max="3" width="12" customWidth="1"/>
    <col min="4" max="4" width="14" customWidth="1"/>
    <col min="5" max="6" width="12" customWidth="1"/>
    <col min="18" max="18" width="30.7109375" customWidth="1"/>
    <col min="19" max="19" width="16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19" x14ac:dyDescent="0.25">
      <c r="A2" s="3">
        <v>1</v>
      </c>
      <c r="B2" s="3">
        <v>27</v>
      </c>
      <c r="C2" s="4">
        <v>6</v>
      </c>
      <c r="D2" s="3">
        <v>27</v>
      </c>
      <c r="E2" s="3">
        <f>32-C2</f>
        <v>26</v>
      </c>
      <c r="F2" s="5"/>
      <c r="R2" s="1" t="s">
        <v>5</v>
      </c>
      <c r="S2" s="1" t="s">
        <v>6</v>
      </c>
    </row>
    <row r="3" spans="1:19" x14ac:dyDescent="0.25">
      <c r="A3" s="3">
        <v>2</v>
      </c>
      <c r="B3" s="3">
        <v>22</v>
      </c>
      <c r="C3" s="4">
        <v>8</v>
      </c>
      <c r="D3" s="3">
        <v>22</v>
      </c>
      <c r="E3" s="3">
        <f>E2-C3</f>
        <v>18</v>
      </c>
      <c r="R3" s="7" t="s">
        <v>7</v>
      </c>
      <c r="S3" s="3">
        <v>3</v>
      </c>
    </row>
    <row r="4" spans="1:19" x14ac:dyDescent="0.25">
      <c r="A4" s="3">
        <v>3</v>
      </c>
      <c r="B4" s="3">
        <v>17</v>
      </c>
      <c r="C4" s="4">
        <v>8</v>
      </c>
      <c r="D4" s="3">
        <v>17</v>
      </c>
      <c r="E4" s="3">
        <f t="shared" ref="E4:E8" si="0">E3-C4</f>
        <v>10</v>
      </c>
      <c r="R4" s="7" t="s">
        <v>8</v>
      </c>
      <c r="S4" s="3">
        <v>3</v>
      </c>
    </row>
    <row r="5" spans="1:19" x14ac:dyDescent="0.25">
      <c r="A5" s="3">
        <v>4</v>
      </c>
      <c r="B5" s="3">
        <v>12</v>
      </c>
      <c r="C5" s="4">
        <v>5</v>
      </c>
      <c r="D5" s="3">
        <v>12</v>
      </c>
      <c r="E5" s="3">
        <f t="shared" si="0"/>
        <v>5</v>
      </c>
      <c r="R5" s="7" t="s">
        <v>9</v>
      </c>
      <c r="S5" s="3">
        <v>3</v>
      </c>
    </row>
    <row r="6" spans="1:19" x14ac:dyDescent="0.25">
      <c r="A6" s="3">
        <v>5</v>
      </c>
      <c r="B6" s="3">
        <v>7</v>
      </c>
      <c r="C6" s="4">
        <v>5</v>
      </c>
      <c r="D6" s="3">
        <v>7</v>
      </c>
      <c r="E6" s="3">
        <f t="shared" si="0"/>
        <v>0</v>
      </c>
      <c r="R6" s="7" t="s">
        <v>10</v>
      </c>
      <c r="S6" s="3">
        <v>5</v>
      </c>
    </row>
    <row r="7" spans="1:19" x14ac:dyDescent="0.25">
      <c r="A7" s="3">
        <v>6</v>
      </c>
      <c r="B7" s="3">
        <v>2</v>
      </c>
      <c r="C7" s="4">
        <v>0</v>
      </c>
      <c r="D7" s="3">
        <v>2</v>
      </c>
      <c r="E7" s="3">
        <f t="shared" si="0"/>
        <v>0</v>
      </c>
      <c r="R7" s="7" t="s">
        <v>11</v>
      </c>
      <c r="S7" s="3">
        <v>8</v>
      </c>
    </row>
    <row r="8" spans="1:19" x14ac:dyDescent="0.25">
      <c r="A8" s="3">
        <v>7</v>
      </c>
      <c r="B8" s="3">
        <f t="shared" ref="B8" si="1">MAX(0,ROUND($B$22-($F$2*A8),0))</f>
        <v>0</v>
      </c>
      <c r="C8" s="4">
        <v>0</v>
      </c>
      <c r="D8" s="3">
        <f t="shared" ref="D8" si="2">MAX(0,ROUND($B$22-($F$2*A8),0))</f>
        <v>0</v>
      </c>
      <c r="E8" s="3">
        <f t="shared" si="0"/>
        <v>0</v>
      </c>
      <c r="R8" s="7" t="s">
        <v>12</v>
      </c>
      <c r="S8" s="3">
        <v>5</v>
      </c>
    </row>
    <row r="9" spans="1:19" x14ac:dyDescent="0.25">
      <c r="R9" s="7" t="s">
        <v>13</v>
      </c>
      <c r="S9" s="3">
        <v>5</v>
      </c>
    </row>
    <row r="10" spans="1:19" x14ac:dyDescent="0.25">
      <c r="R10" s="2" t="s">
        <v>14</v>
      </c>
      <c r="S10" s="8">
        <f>SUM(S3:S9)</f>
        <v>32</v>
      </c>
    </row>
    <row r="11" spans="1:19" x14ac:dyDescent="0.25">
      <c r="A11" s="6"/>
    </row>
    <row r="12" spans="1:19" x14ac:dyDescent="0.25">
      <c r="A12" s="6"/>
    </row>
    <row r="14" spans="1:19" x14ac:dyDescent="0.25">
      <c r="A14" s="9"/>
      <c r="B14" s="9"/>
    </row>
    <row r="15" spans="1:19" x14ac:dyDescent="0.25">
      <c r="A15" s="7"/>
      <c r="B15" s="3"/>
    </row>
    <row r="16" spans="1:19" x14ac:dyDescent="0.25">
      <c r="A16" s="7"/>
      <c r="B16" s="3"/>
    </row>
    <row r="17" spans="1:2" x14ac:dyDescent="0.25">
      <c r="A17" s="7"/>
      <c r="B17" s="3"/>
    </row>
    <row r="18" spans="1:2" x14ac:dyDescent="0.25">
      <c r="A18" s="7"/>
      <c r="B18" s="3"/>
    </row>
    <row r="19" spans="1:2" x14ac:dyDescent="0.25">
      <c r="A19" s="7"/>
      <c r="B19" s="3"/>
    </row>
    <row r="20" spans="1:2" x14ac:dyDescent="0.25">
      <c r="A20" s="7"/>
      <c r="B20" s="3"/>
    </row>
    <row r="21" spans="1:2" x14ac:dyDescent="0.25">
      <c r="A21" s="7"/>
      <c r="B21" s="3"/>
    </row>
    <row r="22" spans="1:2" x14ac:dyDescent="0.25">
      <c r="A22" s="2"/>
      <c r="B22" s="8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Krzysztof Tomczyk</cp:lastModifiedBy>
  <cp:revision>1</cp:revision>
  <dcterms:created xsi:type="dcterms:W3CDTF">2026-06-12T14:47:57Z</dcterms:created>
  <dcterms:modified xsi:type="dcterms:W3CDTF">2026-06-12T15:00:15Z</dcterms:modified>
  <dc:language>en-US</dc:language>
</cp:coreProperties>
</file>